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MyFiles\courses\OPRE411\opre411b\DataFiles\"/>
    </mc:Choice>
  </mc:AlternateContent>
  <bookViews>
    <workbookView xWindow="0" yWindow="0" windowWidth="20490" windowHeight="7755"/>
  </bookViews>
  <sheets>
    <sheet name="Sheet1" sheetId="1" r:id="rId1"/>
  </sheets>
  <definedNames>
    <definedName name="OpenSolver_ChosenSolver" localSheetId="0" hidden="1">CBC</definedName>
    <definedName name="OpenSolver_DualsNewSheet" localSheetId="0" hidden="1">FALSE</definedName>
    <definedName name="OpenSolver_LinearityCheck" localSheetId="0" hidden="1">1</definedName>
    <definedName name="solver_adj" localSheetId="0" hidden="1">Sheet1!$B$28:$P$43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</definedName>
    <definedName name="solver_lhs1" localSheetId="0" hidden="1">Sheet1!$R$28:$R$43</definedName>
    <definedName name="solver_lhs2" localSheetId="0" hidden="1">Sheet1!$B$44:$P$44</definedName>
    <definedName name="solver_lhs3" localSheetId="0" hidden="1">Sheet1!#REF!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Sheet1!$S$45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Sheet1!$S$28:$S$43</definedName>
    <definedName name="solver_rhs2" localSheetId="0" hidden="1">Sheet1!$B$45:$P$45</definedName>
    <definedName name="solver_rhs3" localSheetId="0" hidden="1">-1</definedName>
    <definedName name="solver_rlx" localSheetId="0" hidden="1">2</definedName>
    <definedName name="solver_rsd" localSheetId="0" hidden="1">0</definedName>
    <definedName name="solver_scl" localSheetId="0" hidden="1">0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5" i="1" l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</calcChain>
</file>

<file path=xl/sharedStrings.xml><?xml version="1.0" encoding="utf-8"?>
<sst xmlns="http://schemas.openxmlformats.org/spreadsheetml/2006/main" count="9" uniqueCount="7">
  <si>
    <t>Unit Costs</t>
  </si>
  <si>
    <t>Demands</t>
  </si>
  <si>
    <t>Supplies</t>
  </si>
  <si>
    <t>Cost =</t>
  </si>
  <si>
    <t>DUMMY</t>
  </si>
  <si>
    <t>Shipped</t>
  </si>
  <si>
    <t>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</si>
</sst>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9525</xdr:rowOff>
        </xdr:from>
        <xdr:to>
          <xdr:col>3</xdr:col>
          <xdr:colOff>19050</xdr:colOff>
          <xdr:row>4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Solve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65050</xdr:colOff>
      <xdr:row>0</xdr:row>
      <xdr:rowOff>0</xdr:rowOff>
    </xdr:from>
    <xdr:to>
      <xdr:col>3</xdr:col>
      <xdr:colOff>430696</xdr:colOff>
      <xdr:row>1</xdr:row>
      <xdr:rowOff>28575</xdr:rowOff>
    </xdr:to>
    <xdr:sp macro="" textlink="">
      <xdr:nvSpPr>
        <xdr:cNvPr id="6" name="Text Box 1"/>
        <xdr:cNvSpPr txBox="1">
          <a:spLocks noChangeArrowheads="1"/>
        </xdr:cNvSpPr>
      </xdr:nvSpPr>
      <xdr:spPr bwMode="auto">
        <a:xfrm>
          <a:off x="65050" y="0"/>
          <a:ext cx="2419733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FFFF" mc:Ignorable="a14" a14:legacySpreadsheetColorIndex="1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 Big Transportation Problem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5"/>
  <sheetViews>
    <sheetView tabSelected="1" topLeftCell="A24" zoomScaleNormal="100" workbookViewId="0">
      <selection activeCell="A26" sqref="A26:XFD100"/>
    </sheetView>
  </sheetViews>
  <sheetFormatPr defaultRowHeight="15" x14ac:dyDescent="0.25"/>
  <cols>
    <col min="1" max="1" width="12.42578125" bestFit="1" customWidth="1"/>
    <col min="4" max="4" width="11.42578125" bestFit="1" customWidth="1"/>
    <col min="7" max="7" width="12.42578125" bestFit="1" customWidth="1"/>
    <col min="10" max="10" width="11.42578125" bestFit="1" customWidth="1"/>
  </cols>
  <sheetData>
    <row r="1" spans="1:18" x14ac:dyDescent="0.25">
      <c r="G1" s="1"/>
      <c r="H1" s="2"/>
      <c r="I1" s="2"/>
      <c r="J1" s="2"/>
      <c r="K1" s="2"/>
      <c r="M1" s="2"/>
    </row>
    <row r="2" spans="1:18" x14ac:dyDescent="0.25">
      <c r="H2" s="3"/>
      <c r="I2" s="3"/>
      <c r="J2" s="3"/>
      <c r="K2" s="3"/>
      <c r="M2" s="3"/>
    </row>
    <row r="3" spans="1:18" x14ac:dyDescent="0.25">
      <c r="H3" s="3"/>
      <c r="I3" s="3"/>
      <c r="J3" s="3"/>
      <c r="K3" s="3"/>
      <c r="M3" s="3"/>
    </row>
    <row r="4" spans="1:18" x14ac:dyDescent="0.25">
      <c r="H4" s="3"/>
      <c r="I4" s="3"/>
      <c r="J4" s="3"/>
      <c r="K4" s="3"/>
      <c r="M4" s="3"/>
    </row>
    <row r="6" spans="1:18" x14ac:dyDescent="0.25">
      <c r="H6" s="3"/>
      <c r="I6" s="3"/>
      <c r="J6" s="3"/>
      <c r="K6" s="3"/>
    </row>
    <row r="7" spans="1:18" x14ac:dyDescent="0.25">
      <c r="A7" s="1" t="s">
        <v>0</v>
      </c>
      <c r="B7" s="2">
        <v>1</v>
      </c>
      <c r="C7" s="2">
        <f>B7+1</f>
        <v>2</v>
      </c>
      <c r="D7" s="2">
        <f t="shared" ref="D7:P7" si="0">C7+1</f>
        <v>3</v>
      </c>
      <c r="E7" s="2">
        <f t="shared" si="0"/>
        <v>4</v>
      </c>
      <c r="F7" s="2">
        <f t="shared" si="0"/>
        <v>5</v>
      </c>
      <c r="G7" s="2">
        <f t="shared" si="0"/>
        <v>6</v>
      </c>
      <c r="H7" s="2">
        <f t="shared" si="0"/>
        <v>7</v>
      </c>
      <c r="I7" s="2">
        <f t="shared" si="0"/>
        <v>8</v>
      </c>
      <c r="J7" s="2">
        <f t="shared" si="0"/>
        <v>9</v>
      </c>
      <c r="K7" s="2">
        <f t="shared" si="0"/>
        <v>10</v>
      </c>
      <c r="L7" s="2">
        <f t="shared" si="0"/>
        <v>11</v>
      </c>
      <c r="M7" s="2">
        <f t="shared" si="0"/>
        <v>12</v>
      </c>
      <c r="N7" s="2">
        <f t="shared" si="0"/>
        <v>13</v>
      </c>
      <c r="O7" s="2">
        <f t="shared" si="0"/>
        <v>14</v>
      </c>
      <c r="P7" s="2">
        <f t="shared" si="0"/>
        <v>15</v>
      </c>
      <c r="R7" t="s">
        <v>2</v>
      </c>
    </row>
    <row r="8" spans="1:18" x14ac:dyDescent="0.25">
      <c r="A8">
        <v>1</v>
      </c>
      <c r="B8" s="3">
        <v>43</v>
      </c>
      <c r="C8" s="3">
        <v>44</v>
      </c>
      <c r="D8" s="3">
        <v>40</v>
      </c>
      <c r="E8" s="3">
        <v>26</v>
      </c>
      <c r="F8">
        <v>13</v>
      </c>
      <c r="G8" s="3">
        <v>12</v>
      </c>
      <c r="H8">
        <v>20</v>
      </c>
      <c r="I8">
        <v>38</v>
      </c>
      <c r="J8">
        <v>16</v>
      </c>
      <c r="K8">
        <v>20</v>
      </c>
      <c r="L8">
        <v>30</v>
      </c>
      <c r="M8">
        <v>37</v>
      </c>
      <c r="N8">
        <v>18</v>
      </c>
      <c r="O8">
        <v>25</v>
      </c>
      <c r="P8">
        <v>38</v>
      </c>
      <c r="R8">
        <v>272</v>
      </c>
    </row>
    <row r="9" spans="1:18" x14ac:dyDescent="0.25">
      <c r="A9">
        <f>A8+1</f>
        <v>2</v>
      </c>
      <c r="B9" s="3">
        <v>34</v>
      </c>
      <c r="C9" s="3">
        <v>14</v>
      </c>
      <c r="D9" s="3">
        <v>50</v>
      </c>
      <c r="E9" s="3">
        <v>22</v>
      </c>
      <c r="F9">
        <v>46</v>
      </c>
      <c r="G9" s="3">
        <v>12</v>
      </c>
      <c r="H9">
        <v>42</v>
      </c>
      <c r="I9">
        <v>14</v>
      </c>
      <c r="J9">
        <v>12</v>
      </c>
      <c r="K9">
        <v>18</v>
      </c>
      <c r="L9">
        <v>38</v>
      </c>
      <c r="M9">
        <v>31</v>
      </c>
      <c r="N9">
        <v>33</v>
      </c>
      <c r="O9">
        <v>35</v>
      </c>
      <c r="P9">
        <v>45</v>
      </c>
      <c r="R9">
        <v>135</v>
      </c>
    </row>
    <row r="10" spans="1:18" x14ac:dyDescent="0.25">
      <c r="A10">
        <f t="shared" ref="A10:A22" si="1">A9+1</f>
        <v>3</v>
      </c>
      <c r="B10" s="3">
        <v>19</v>
      </c>
      <c r="C10" s="3">
        <v>19</v>
      </c>
      <c r="D10" s="3">
        <v>28</v>
      </c>
      <c r="E10" s="3">
        <v>10</v>
      </c>
      <c r="F10">
        <v>49</v>
      </c>
      <c r="G10" s="3">
        <v>37</v>
      </c>
      <c r="H10">
        <v>29</v>
      </c>
      <c r="I10">
        <v>19</v>
      </c>
      <c r="J10">
        <v>35</v>
      </c>
      <c r="K10">
        <v>11</v>
      </c>
      <c r="L10">
        <v>39</v>
      </c>
      <c r="M10">
        <v>41</v>
      </c>
      <c r="N10">
        <v>31</v>
      </c>
      <c r="O10">
        <v>14</v>
      </c>
      <c r="P10">
        <v>27</v>
      </c>
      <c r="R10">
        <v>164</v>
      </c>
    </row>
    <row r="11" spans="1:18" x14ac:dyDescent="0.25">
      <c r="A11">
        <f t="shared" si="1"/>
        <v>4</v>
      </c>
      <c r="B11">
        <v>16</v>
      </c>
      <c r="C11">
        <v>13</v>
      </c>
      <c r="D11">
        <v>30</v>
      </c>
      <c r="E11">
        <v>21</v>
      </c>
      <c r="F11">
        <v>37</v>
      </c>
      <c r="G11">
        <v>32</v>
      </c>
      <c r="H11">
        <v>19</v>
      </c>
      <c r="I11">
        <v>44</v>
      </c>
      <c r="J11">
        <v>47</v>
      </c>
      <c r="K11">
        <v>17</v>
      </c>
      <c r="L11">
        <v>28</v>
      </c>
      <c r="M11">
        <v>21</v>
      </c>
      <c r="N11">
        <v>41</v>
      </c>
      <c r="O11">
        <v>28</v>
      </c>
      <c r="P11">
        <v>26</v>
      </c>
      <c r="R11">
        <v>300</v>
      </c>
    </row>
    <row r="12" spans="1:18" x14ac:dyDescent="0.25">
      <c r="A12">
        <f t="shared" si="1"/>
        <v>5</v>
      </c>
      <c r="B12">
        <v>21</v>
      </c>
      <c r="C12">
        <v>28</v>
      </c>
      <c r="D12">
        <v>40</v>
      </c>
      <c r="E12">
        <v>43</v>
      </c>
      <c r="F12">
        <v>20</v>
      </c>
      <c r="G12">
        <v>48</v>
      </c>
      <c r="H12">
        <v>15</v>
      </c>
      <c r="I12">
        <v>24</v>
      </c>
      <c r="J12">
        <v>46</v>
      </c>
      <c r="K12">
        <v>37</v>
      </c>
      <c r="L12">
        <v>27</v>
      </c>
      <c r="M12">
        <v>23</v>
      </c>
      <c r="N12">
        <v>37</v>
      </c>
      <c r="O12">
        <v>24</v>
      </c>
      <c r="P12">
        <v>31</v>
      </c>
      <c r="R12">
        <v>401</v>
      </c>
    </row>
    <row r="13" spans="1:18" x14ac:dyDescent="0.25">
      <c r="A13">
        <f t="shared" si="1"/>
        <v>6</v>
      </c>
      <c r="B13">
        <v>44</v>
      </c>
      <c r="C13">
        <v>10</v>
      </c>
      <c r="D13">
        <v>15</v>
      </c>
      <c r="E13">
        <v>11</v>
      </c>
      <c r="F13">
        <v>46</v>
      </c>
      <c r="G13">
        <v>23</v>
      </c>
      <c r="H13">
        <v>10</v>
      </c>
      <c r="I13">
        <v>12</v>
      </c>
      <c r="J13">
        <v>10</v>
      </c>
      <c r="K13">
        <v>34</v>
      </c>
      <c r="L13">
        <v>29</v>
      </c>
      <c r="M13">
        <v>20</v>
      </c>
      <c r="N13">
        <v>11</v>
      </c>
      <c r="O13">
        <v>48</v>
      </c>
      <c r="P13">
        <v>22</v>
      </c>
      <c r="R13">
        <v>252</v>
      </c>
    </row>
    <row r="14" spans="1:18" x14ac:dyDescent="0.25">
      <c r="A14">
        <f t="shared" si="1"/>
        <v>7</v>
      </c>
      <c r="B14">
        <v>17</v>
      </c>
      <c r="C14">
        <v>11</v>
      </c>
      <c r="D14">
        <v>40</v>
      </c>
      <c r="E14">
        <v>46</v>
      </c>
      <c r="F14">
        <v>49</v>
      </c>
      <c r="G14">
        <v>35</v>
      </c>
      <c r="H14">
        <v>36</v>
      </c>
      <c r="I14">
        <v>26</v>
      </c>
      <c r="J14">
        <v>46</v>
      </c>
      <c r="K14">
        <v>30</v>
      </c>
      <c r="L14">
        <v>17</v>
      </c>
      <c r="M14">
        <v>36</v>
      </c>
      <c r="N14">
        <v>43</v>
      </c>
      <c r="O14">
        <v>15</v>
      </c>
      <c r="P14">
        <v>26</v>
      </c>
      <c r="R14">
        <v>411</v>
      </c>
    </row>
    <row r="15" spans="1:18" x14ac:dyDescent="0.25">
      <c r="A15">
        <f t="shared" si="1"/>
        <v>8</v>
      </c>
      <c r="B15">
        <v>42</v>
      </c>
      <c r="C15">
        <v>16</v>
      </c>
      <c r="D15">
        <v>46</v>
      </c>
      <c r="E15">
        <v>43</v>
      </c>
      <c r="F15">
        <v>35</v>
      </c>
      <c r="G15">
        <v>41</v>
      </c>
      <c r="H15">
        <v>20</v>
      </c>
      <c r="I15">
        <v>36</v>
      </c>
      <c r="J15">
        <v>43</v>
      </c>
      <c r="K15">
        <v>30</v>
      </c>
      <c r="L15">
        <v>21</v>
      </c>
      <c r="M15">
        <v>17</v>
      </c>
      <c r="N15">
        <v>39</v>
      </c>
      <c r="O15">
        <v>30</v>
      </c>
      <c r="P15">
        <v>26</v>
      </c>
      <c r="R15">
        <v>267</v>
      </c>
    </row>
    <row r="16" spans="1:18" x14ac:dyDescent="0.25">
      <c r="A16">
        <f t="shared" si="1"/>
        <v>9</v>
      </c>
      <c r="B16">
        <v>34</v>
      </c>
      <c r="C16">
        <v>15</v>
      </c>
      <c r="D16">
        <v>26</v>
      </c>
      <c r="E16">
        <v>32</v>
      </c>
      <c r="F16">
        <v>46</v>
      </c>
      <c r="G16">
        <v>29</v>
      </c>
      <c r="H16">
        <v>50</v>
      </c>
      <c r="I16">
        <v>18</v>
      </c>
      <c r="J16">
        <v>50</v>
      </c>
      <c r="K16">
        <v>18</v>
      </c>
      <c r="L16">
        <v>47</v>
      </c>
      <c r="M16">
        <v>14</v>
      </c>
      <c r="N16">
        <v>22</v>
      </c>
      <c r="O16">
        <v>29</v>
      </c>
      <c r="P16">
        <v>48</v>
      </c>
      <c r="R16">
        <v>475</v>
      </c>
    </row>
    <row r="17" spans="1:19" x14ac:dyDescent="0.25">
      <c r="A17">
        <f t="shared" si="1"/>
        <v>10</v>
      </c>
      <c r="B17">
        <v>48</v>
      </c>
      <c r="C17">
        <v>24</v>
      </c>
      <c r="D17">
        <v>46</v>
      </c>
      <c r="E17">
        <v>14</v>
      </c>
      <c r="F17">
        <v>23</v>
      </c>
      <c r="G17">
        <v>43</v>
      </c>
      <c r="H17">
        <v>45</v>
      </c>
      <c r="I17">
        <v>25</v>
      </c>
      <c r="J17">
        <v>16</v>
      </c>
      <c r="K17">
        <v>35</v>
      </c>
      <c r="L17">
        <v>43</v>
      </c>
      <c r="M17">
        <v>31</v>
      </c>
      <c r="N17">
        <v>10</v>
      </c>
      <c r="O17">
        <v>31</v>
      </c>
      <c r="P17">
        <v>48</v>
      </c>
      <c r="R17">
        <v>202</v>
      </c>
    </row>
    <row r="18" spans="1:19" x14ac:dyDescent="0.25">
      <c r="A18">
        <f t="shared" si="1"/>
        <v>11</v>
      </c>
      <c r="B18">
        <v>12</v>
      </c>
      <c r="C18">
        <v>11</v>
      </c>
      <c r="D18">
        <v>37</v>
      </c>
      <c r="E18">
        <v>49</v>
      </c>
      <c r="F18">
        <v>40</v>
      </c>
      <c r="G18">
        <v>47</v>
      </c>
      <c r="H18">
        <v>37</v>
      </c>
      <c r="I18">
        <v>29</v>
      </c>
      <c r="J18">
        <v>50</v>
      </c>
      <c r="K18">
        <v>12</v>
      </c>
      <c r="L18">
        <v>39</v>
      </c>
      <c r="M18">
        <v>15</v>
      </c>
      <c r="N18">
        <v>45</v>
      </c>
      <c r="O18">
        <v>19</v>
      </c>
      <c r="P18">
        <v>14</v>
      </c>
      <c r="R18">
        <v>147</v>
      </c>
    </row>
    <row r="19" spans="1:19" x14ac:dyDescent="0.25">
      <c r="A19">
        <f t="shared" si="1"/>
        <v>12</v>
      </c>
      <c r="B19">
        <v>26</v>
      </c>
      <c r="C19">
        <v>50</v>
      </c>
      <c r="D19">
        <v>22</v>
      </c>
      <c r="E19">
        <v>46</v>
      </c>
      <c r="F19">
        <v>27</v>
      </c>
      <c r="G19">
        <v>50</v>
      </c>
      <c r="H19">
        <v>16</v>
      </c>
      <c r="I19">
        <v>44</v>
      </c>
      <c r="J19">
        <v>17</v>
      </c>
      <c r="K19">
        <v>13</v>
      </c>
      <c r="L19">
        <v>14</v>
      </c>
      <c r="M19">
        <v>38</v>
      </c>
      <c r="N19">
        <v>44</v>
      </c>
      <c r="O19">
        <v>41</v>
      </c>
      <c r="P19">
        <v>21</v>
      </c>
      <c r="R19">
        <v>398</v>
      </c>
    </row>
    <row r="20" spans="1:19" x14ac:dyDescent="0.25">
      <c r="A20">
        <f t="shared" si="1"/>
        <v>13</v>
      </c>
      <c r="B20">
        <v>31</v>
      </c>
      <c r="C20">
        <v>26</v>
      </c>
      <c r="D20">
        <v>14</v>
      </c>
      <c r="E20">
        <v>30</v>
      </c>
      <c r="F20">
        <v>32</v>
      </c>
      <c r="G20">
        <v>36</v>
      </c>
      <c r="H20">
        <v>44</v>
      </c>
      <c r="I20">
        <v>18</v>
      </c>
      <c r="J20">
        <v>49</v>
      </c>
      <c r="K20">
        <v>17</v>
      </c>
      <c r="L20">
        <v>16</v>
      </c>
      <c r="M20">
        <v>40</v>
      </c>
      <c r="N20">
        <v>19</v>
      </c>
      <c r="O20">
        <v>48</v>
      </c>
      <c r="P20">
        <v>24</v>
      </c>
      <c r="R20">
        <v>159</v>
      </c>
    </row>
    <row r="21" spans="1:19" x14ac:dyDescent="0.25">
      <c r="A21">
        <f t="shared" si="1"/>
        <v>14</v>
      </c>
      <c r="B21">
        <v>47</v>
      </c>
      <c r="C21">
        <v>32</v>
      </c>
      <c r="D21">
        <v>40</v>
      </c>
      <c r="E21">
        <v>13</v>
      </c>
      <c r="F21">
        <v>39</v>
      </c>
      <c r="G21">
        <v>28</v>
      </c>
      <c r="H21">
        <v>17</v>
      </c>
      <c r="I21">
        <v>30</v>
      </c>
      <c r="J21">
        <v>26</v>
      </c>
      <c r="K21">
        <v>45</v>
      </c>
      <c r="L21">
        <v>45</v>
      </c>
      <c r="M21">
        <v>50</v>
      </c>
      <c r="N21">
        <v>36</v>
      </c>
      <c r="O21">
        <v>20</v>
      </c>
      <c r="P21">
        <v>36</v>
      </c>
      <c r="R21">
        <v>212</v>
      </c>
    </row>
    <row r="22" spans="1:19" x14ac:dyDescent="0.25">
      <c r="A22">
        <f t="shared" si="1"/>
        <v>15</v>
      </c>
      <c r="B22">
        <v>48</v>
      </c>
      <c r="C22">
        <v>14</v>
      </c>
      <c r="D22">
        <v>14</v>
      </c>
      <c r="E22">
        <v>27</v>
      </c>
      <c r="F22">
        <v>42</v>
      </c>
      <c r="G22">
        <v>22</v>
      </c>
      <c r="H22">
        <v>36</v>
      </c>
      <c r="I22">
        <v>47</v>
      </c>
      <c r="J22">
        <v>26</v>
      </c>
      <c r="K22">
        <v>27</v>
      </c>
      <c r="L22">
        <v>37</v>
      </c>
      <c r="M22">
        <v>45</v>
      </c>
      <c r="N22">
        <v>34</v>
      </c>
      <c r="O22">
        <v>41</v>
      </c>
      <c r="P22">
        <v>48</v>
      </c>
      <c r="R22">
        <v>218</v>
      </c>
    </row>
    <row r="24" spans="1:19" x14ac:dyDescent="0.25">
      <c r="A24" t="s">
        <v>1</v>
      </c>
      <c r="B24">
        <v>384</v>
      </c>
      <c r="C24">
        <v>106</v>
      </c>
      <c r="D24">
        <v>359</v>
      </c>
      <c r="E24">
        <v>317</v>
      </c>
      <c r="F24">
        <v>170</v>
      </c>
      <c r="G24">
        <v>202</v>
      </c>
      <c r="H24">
        <v>202</v>
      </c>
      <c r="I24">
        <v>491</v>
      </c>
      <c r="J24">
        <v>238</v>
      </c>
      <c r="K24">
        <v>333</v>
      </c>
      <c r="L24">
        <v>113</v>
      </c>
      <c r="M24">
        <v>350</v>
      </c>
      <c r="N24">
        <v>382</v>
      </c>
      <c r="O24">
        <v>434</v>
      </c>
      <c r="P24">
        <v>308</v>
      </c>
    </row>
    <row r="27" spans="1:19" x14ac:dyDescent="0.25"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  <c r="K27">
        <v>10</v>
      </c>
      <c r="L27">
        <v>11</v>
      </c>
      <c r="M27">
        <v>12</v>
      </c>
      <c r="N27">
        <v>13</v>
      </c>
      <c r="O27">
        <v>14</v>
      </c>
      <c r="P27">
        <v>15</v>
      </c>
      <c r="R27" t="s">
        <v>2</v>
      </c>
      <c r="S27" t="s">
        <v>5</v>
      </c>
    </row>
    <row r="28" spans="1:19" x14ac:dyDescent="0.25">
      <c r="A28">
        <v>1</v>
      </c>
      <c r="B28">
        <v>0</v>
      </c>
      <c r="C28">
        <v>0</v>
      </c>
      <c r="D28">
        <v>0</v>
      </c>
      <c r="E28">
        <v>0</v>
      </c>
      <c r="F28">
        <v>70</v>
      </c>
      <c r="G28">
        <v>202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R28">
        <v>272</v>
      </c>
      <c r="S28">
        <f>SUM($B$28:$P$28)</f>
        <v>272</v>
      </c>
    </row>
    <row r="29" spans="1:19" x14ac:dyDescent="0.25">
      <c r="A29">
        <v>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135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R29">
        <v>135</v>
      </c>
      <c r="S29">
        <f>SUM($B$29:$P$29)</f>
        <v>135</v>
      </c>
    </row>
    <row r="30" spans="1:19" x14ac:dyDescent="0.25">
      <c r="A30">
        <v>3</v>
      </c>
      <c r="B30">
        <v>0</v>
      </c>
      <c r="C30">
        <v>0</v>
      </c>
      <c r="D30">
        <v>0</v>
      </c>
      <c r="E30">
        <v>105</v>
      </c>
      <c r="F30">
        <v>0</v>
      </c>
      <c r="G30">
        <v>0</v>
      </c>
      <c r="H30">
        <v>0</v>
      </c>
      <c r="I30">
        <v>0</v>
      </c>
      <c r="J30">
        <v>0</v>
      </c>
      <c r="K30">
        <v>36</v>
      </c>
      <c r="L30">
        <v>0</v>
      </c>
      <c r="M30">
        <v>0</v>
      </c>
      <c r="N30">
        <v>0</v>
      </c>
      <c r="O30">
        <v>23</v>
      </c>
      <c r="P30">
        <v>0</v>
      </c>
      <c r="R30">
        <v>164</v>
      </c>
      <c r="S30">
        <f>SUM($B$30:$P$30)</f>
        <v>164</v>
      </c>
    </row>
    <row r="31" spans="1:19" x14ac:dyDescent="0.25">
      <c r="A31">
        <v>4</v>
      </c>
      <c r="B31">
        <v>194</v>
      </c>
      <c r="C31">
        <v>106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R31">
        <v>300</v>
      </c>
      <c r="S31">
        <f>SUM($B$31:$P$31)</f>
        <v>300</v>
      </c>
    </row>
    <row r="32" spans="1:19" x14ac:dyDescent="0.25">
      <c r="A32">
        <v>5</v>
      </c>
      <c r="B32">
        <v>99</v>
      </c>
      <c r="C32">
        <v>0</v>
      </c>
      <c r="D32">
        <v>0</v>
      </c>
      <c r="E32">
        <v>0</v>
      </c>
      <c r="F32">
        <v>100</v>
      </c>
      <c r="G32">
        <v>0</v>
      </c>
      <c r="H32">
        <v>202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R32">
        <v>401</v>
      </c>
      <c r="S32">
        <f>SUM($B$32:$P$32)</f>
        <v>401</v>
      </c>
    </row>
    <row r="33" spans="1:19" x14ac:dyDescent="0.25">
      <c r="A33">
        <v>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103</v>
      </c>
      <c r="K33">
        <v>0</v>
      </c>
      <c r="L33">
        <v>0</v>
      </c>
      <c r="M33">
        <v>0</v>
      </c>
      <c r="N33">
        <v>149</v>
      </c>
      <c r="O33">
        <v>0</v>
      </c>
      <c r="P33">
        <v>0</v>
      </c>
      <c r="R33">
        <v>252</v>
      </c>
      <c r="S33">
        <f>SUM($B$33:$P$33)</f>
        <v>252</v>
      </c>
    </row>
    <row r="34" spans="1:19" x14ac:dyDescent="0.25">
      <c r="A34">
        <v>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411</v>
      </c>
      <c r="P34">
        <v>0</v>
      </c>
      <c r="R34">
        <v>411</v>
      </c>
      <c r="S34">
        <f>SUM($B$34:$P$34)</f>
        <v>411</v>
      </c>
    </row>
    <row r="35" spans="1:19" x14ac:dyDescent="0.25">
      <c r="A35">
        <v>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267</v>
      </c>
      <c r="N35">
        <v>0</v>
      </c>
      <c r="O35">
        <v>0</v>
      </c>
      <c r="P35">
        <v>0</v>
      </c>
      <c r="R35">
        <v>267</v>
      </c>
      <c r="S35">
        <f>SUM($B$35:$P$35)</f>
        <v>267</v>
      </c>
    </row>
    <row r="36" spans="1:19" x14ac:dyDescent="0.25">
      <c r="A36">
        <v>9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392</v>
      </c>
      <c r="J36">
        <v>0</v>
      </c>
      <c r="K36">
        <v>0</v>
      </c>
      <c r="L36">
        <v>0</v>
      </c>
      <c r="M36">
        <v>83</v>
      </c>
      <c r="N36">
        <v>0</v>
      </c>
      <c r="O36">
        <v>0</v>
      </c>
      <c r="P36">
        <v>0</v>
      </c>
      <c r="R36">
        <v>475</v>
      </c>
      <c r="S36">
        <f>SUM($B$36:$P$36)</f>
        <v>475</v>
      </c>
    </row>
    <row r="37" spans="1:19" x14ac:dyDescent="0.25">
      <c r="A37">
        <v>10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202</v>
      </c>
      <c r="O37">
        <v>0</v>
      </c>
      <c r="P37">
        <v>0</v>
      </c>
      <c r="R37">
        <v>202</v>
      </c>
      <c r="S37">
        <f>SUM($B$37:$P$37)</f>
        <v>202</v>
      </c>
    </row>
    <row r="38" spans="1:19" x14ac:dyDescent="0.25">
      <c r="A38">
        <v>11</v>
      </c>
      <c r="B38">
        <v>91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56</v>
      </c>
      <c r="R38">
        <v>147</v>
      </c>
      <c r="S38">
        <f>SUM($B$38:$P$38)</f>
        <v>147</v>
      </c>
    </row>
    <row r="39" spans="1:19" x14ac:dyDescent="0.25">
      <c r="A39">
        <v>12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297</v>
      </c>
      <c r="L39">
        <v>101</v>
      </c>
      <c r="M39">
        <v>0</v>
      </c>
      <c r="N39">
        <v>0</v>
      </c>
      <c r="O39">
        <v>0</v>
      </c>
      <c r="P39">
        <v>0</v>
      </c>
      <c r="R39">
        <v>398</v>
      </c>
      <c r="S39">
        <f>SUM($B$39:$P$39)</f>
        <v>398</v>
      </c>
    </row>
    <row r="40" spans="1:19" x14ac:dyDescent="0.25">
      <c r="A40">
        <v>13</v>
      </c>
      <c r="B40">
        <v>0</v>
      </c>
      <c r="C40">
        <v>0</v>
      </c>
      <c r="D40">
        <v>141</v>
      </c>
      <c r="E40">
        <v>0</v>
      </c>
      <c r="F40">
        <v>0</v>
      </c>
      <c r="G40">
        <v>0</v>
      </c>
      <c r="H40">
        <v>0</v>
      </c>
      <c r="I40">
        <v>6</v>
      </c>
      <c r="J40">
        <v>0</v>
      </c>
      <c r="K40">
        <v>0</v>
      </c>
      <c r="L40">
        <v>12</v>
      </c>
      <c r="M40">
        <v>0</v>
      </c>
      <c r="N40">
        <v>0</v>
      </c>
      <c r="O40">
        <v>0</v>
      </c>
      <c r="P40">
        <v>0</v>
      </c>
      <c r="R40">
        <v>159</v>
      </c>
      <c r="S40">
        <f>SUM($B$40:$P$40)</f>
        <v>159</v>
      </c>
    </row>
    <row r="41" spans="1:19" x14ac:dyDescent="0.25">
      <c r="A41">
        <v>14</v>
      </c>
      <c r="B41">
        <v>0</v>
      </c>
      <c r="C41">
        <v>0</v>
      </c>
      <c r="D41">
        <v>0</v>
      </c>
      <c r="E41">
        <v>212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R41">
        <v>212</v>
      </c>
      <c r="S41">
        <f>SUM($B$41:$P$41)</f>
        <v>212</v>
      </c>
    </row>
    <row r="42" spans="1:19" x14ac:dyDescent="0.25">
      <c r="A42">
        <v>15</v>
      </c>
      <c r="B42">
        <v>0</v>
      </c>
      <c r="C42">
        <v>0</v>
      </c>
      <c r="D42">
        <v>218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R42">
        <v>218</v>
      </c>
      <c r="S42">
        <f>SUM($B$42:$P$42)</f>
        <v>218</v>
      </c>
    </row>
    <row r="43" spans="1:19" x14ac:dyDescent="0.25">
      <c r="A43" t="s">
        <v>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93</v>
      </c>
      <c r="J43">
        <v>0</v>
      </c>
      <c r="K43">
        <v>0</v>
      </c>
      <c r="L43">
        <v>0</v>
      </c>
      <c r="M43">
        <v>0</v>
      </c>
      <c r="N43">
        <v>31</v>
      </c>
      <c r="O43">
        <v>0</v>
      </c>
      <c r="P43">
        <v>252</v>
      </c>
      <c r="R43">
        <v>376</v>
      </c>
      <c r="S43">
        <f>SUM($B$43:$P$43)</f>
        <v>376</v>
      </c>
    </row>
    <row r="44" spans="1:19" x14ac:dyDescent="0.25">
      <c r="A44" t="s">
        <v>1</v>
      </c>
      <c r="B44">
        <v>384</v>
      </c>
      <c r="C44">
        <v>106</v>
      </c>
      <c r="D44">
        <v>359</v>
      </c>
      <c r="E44">
        <v>317</v>
      </c>
      <c r="F44">
        <v>170</v>
      </c>
      <c r="G44">
        <v>202</v>
      </c>
      <c r="H44">
        <v>202</v>
      </c>
      <c r="I44">
        <v>491</v>
      </c>
      <c r="J44">
        <v>238</v>
      </c>
      <c r="K44">
        <v>333</v>
      </c>
      <c r="L44">
        <v>113</v>
      </c>
      <c r="M44">
        <v>350</v>
      </c>
      <c r="N44">
        <v>382</v>
      </c>
      <c r="O44">
        <v>434</v>
      </c>
      <c r="P44">
        <v>308</v>
      </c>
    </row>
    <row r="45" spans="1:19" x14ac:dyDescent="0.25">
      <c r="A45" t="s">
        <v>6</v>
      </c>
      <c r="B45">
        <f>SUM($B$28:$B$43)</f>
        <v>384</v>
      </c>
      <c r="C45">
        <f>SUM($C$28:$C$43)</f>
        <v>106</v>
      </c>
      <c r="D45">
        <f>SUM($D$28:$D$43)</f>
        <v>359</v>
      </c>
      <c r="E45">
        <f>SUM($E$28:$E$43)</f>
        <v>317</v>
      </c>
      <c r="F45">
        <f>SUM($F$28:$F$43)</f>
        <v>170</v>
      </c>
      <c r="G45">
        <f>SUM($G$28:$G$43)</f>
        <v>202</v>
      </c>
      <c r="H45">
        <f>SUM($H$28:$H$43)</f>
        <v>202</v>
      </c>
      <c r="I45">
        <f>SUM($I$28:$I$43)</f>
        <v>491</v>
      </c>
      <c r="J45">
        <f>SUM($J$28:$J$43)</f>
        <v>238</v>
      </c>
      <c r="K45">
        <f>SUM($K$28:$K$43)</f>
        <v>333</v>
      </c>
      <c r="L45">
        <f>SUM($L$28:$L$43)</f>
        <v>113</v>
      </c>
      <c r="M45">
        <f>SUM($M$28:$M$43)</f>
        <v>350</v>
      </c>
      <c r="N45">
        <f>SUM($N$28:$N$43)</f>
        <v>382</v>
      </c>
      <c r="O45">
        <f>SUM($O$28:$O$43)</f>
        <v>434</v>
      </c>
      <c r="P45">
        <f>SUM($P$28:$P$43)</f>
        <v>308</v>
      </c>
      <c r="R45" t="s">
        <v>3</v>
      </c>
      <c r="S45">
        <f>SUMPRODUCT($B$8:$P$23,$B$28:$P$43)</f>
        <v>57157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DoItAll">
                <anchor moveWithCells="1" sizeWithCells="1">
                  <from>
                    <xdr:col>0</xdr:col>
                    <xdr:colOff>390525</xdr:colOff>
                    <xdr:row>2</xdr:row>
                    <xdr:rowOff>9525</xdr:rowOff>
                  </from>
                  <to>
                    <xdr:col>3</xdr:col>
                    <xdr:colOff>19050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2015-01-12T00:58:52Z</dcterms:created>
  <dcterms:modified xsi:type="dcterms:W3CDTF">2016-01-17T18:33:17Z</dcterms:modified>
</cp:coreProperties>
</file>